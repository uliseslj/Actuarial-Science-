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ago\Desktop\Drive\Github\Finance\"/>
    </mc:Choice>
  </mc:AlternateContent>
  <xr:revisionPtr revIDLastSave="0" documentId="13_ncr:1_{1D394D69-1235-4C03-8557-65F81464AA4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Ejercicio_3" sheetId="1" r:id="rId1"/>
    <sheet name="Hoja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1" l="1"/>
  <c r="B19" i="1" s="1"/>
  <c r="B20" i="1" s="1"/>
  <c r="K31" i="2"/>
  <c r="I31" i="2"/>
  <c r="K26" i="2"/>
  <c r="K33" i="2" s="1"/>
  <c r="J25" i="2"/>
  <c r="J32" i="2" s="1"/>
  <c r="M24" i="2"/>
  <c r="N25" i="2" s="1"/>
  <c r="O24" i="2" s="1"/>
  <c r="K24" i="2"/>
  <c r="I24" i="2"/>
  <c r="J23" i="2"/>
  <c r="J30" i="2" s="1"/>
  <c r="B23" i="2"/>
  <c r="K22" i="2"/>
  <c r="K29" i="2" s="1"/>
  <c r="B19" i="2"/>
  <c r="B20" i="2" s="1"/>
  <c r="P23" i="2" l="1"/>
  <c r="P25" i="2"/>
</calcChain>
</file>

<file path=xl/sharedStrings.xml><?xml version="1.0" encoding="utf-8"?>
<sst xmlns="http://schemas.openxmlformats.org/spreadsheetml/2006/main" count="46" uniqueCount="25">
  <si>
    <t>Precio inicial S_1</t>
  </si>
  <si>
    <t>Precio strike</t>
  </si>
  <si>
    <t>d (constante de bajada del precio)</t>
  </si>
  <si>
    <t>u (constante de subida del precio)</t>
  </si>
  <si>
    <t>T (tiempo de vencimiento)</t>
  </si>
  <si>
    <t>tipo de derivado</t>
  </si>
  <si>
    <t>tasa</t>
  </si>
  <si>
    <t>pago digital (en caso del call digital o put digital)</t>
  </si>
  <si>
    <t>RESULTADOS</t>
  </si>
  <si>
    <t>q (probabilidad de subir)</t>
  </si>
  <si>
    <t>1 - q (probabilidad de bajar)</t>
  </si>
  <si>
    <t>B((i-1)d,id)^(-1) (factor de valor futuro)</t>
  </si>
  <si>
    <t>B((i-1)d,id) (factor de descuento)</t>
  </si>
  <si>
    <t>delta</t>
  </si>
  <si>
    <t>PRECIO DEL DERIVADO</t>
  </si>
  <si>
    <t>Arbol de valores del derivado</t>
  </si>
  <si>
    <t>Arbol de valores de alpha</t>
  </si>
  <si>
    <t>Arbol de valores del subyacente</t>
  </si>
  <si>
    <t>n (periodos)</t>
  </si>
  <si>
    <t>Arbol de valores de betas</t>
  </si>
  <si>
    <t>-</t>
  </si>
  <si>
    <t>call</t>
  </si>
  <si>
    <t xml:space="preserve">Costo de alpha </t>
  </si>
  <si>
    <t>¿Cuanto debe ser financieado ?</t>
  </si>
  <si>
    <t>Betha vs costo 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</si>
</sst>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%"/>
    <numFmt numFmtId="165" formatCode="0.00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2"/>
      <color theme="1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 tint="0.3499862666707357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/>
    <xf numFmtId="2" fontId="0" fillId="0" borderId="0" xfId="0" applyNumberFormat="1"/>
    <xf numFmtId="0" fontId="0" fillId="0" borderId="0" xfId="0" applyAlignment="1">
      <alignment horizontal="center"/>
    </xf>
    <xf numFmtId="164" fontId="0" fillId="0" borderId="0" xfId="1" applyNumberFormat="1" applyFont="1"/>
    <xf numFmtId="165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6" borderId="0" xfId="0" applyFill="1"/>
    <xf numFmtId="0" fontId="4" fillId="6" borderId="0" xfId="0" applyFont="1" applyFill="1"/>
    <xf numFmtId="0" fontId="5" fillId="0" borderId="0" xfId="0" applyFont="1"/>
    <xf numFmtId="0" fontId="5" fillId="0" borderId="0" xfId="0" applyFont="1" applyAlignment="1">
      <alignment vertical="center" wrapText="1"/>
    </xf>
    <xf numFmtId="0" fontId="0" fillId="0" borderId="0" xfId="0" applyFo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0" fillId="3" borderId="1" xfId="0" applyFont="1" applyFill="1" applyBorder="1" applyAlignment="1">
      <alignment horizontal="center"/>
    </xf>
    <xf numFmtId="0" fontId="6" fillId="3" borderId="2" xfId="0" applyFont="1" applyFill="1" applyBorder="1"/>
    <xf numFmtId="0" fontId="3" fillId="7" borderId="3" xfId="0" applyFont="1" applyFill="1" applyBorder="1" applyAlignment="1">
      <alignment horizontal="center" vertical="center"/>
    </xf>
    <xf numFmtId="44" fontId="0" fillId="0" borderId="4" xfId="2" applyFont="1" applyBorder="1"/>
    <xf numFmtId="0" fontId="3" fillId="7" borderId="5" xfId="0" applyFont="1" applyFill="1" applyBorder="1" applyAlignment="1">
      <alignment horizontal="center" vertical="center"/>
    </xf>
    <xf numFmtId="44" fontId="0" fillId="0" borderId="6" xfId="2" applyFont="1" applyBorder="1"/>
    <xf numFmtId="2" fontId="0" fillId="0" borderId="6" xfId="0" applyNumberFormat="1" applyFont="1" applyBorder="1"/>
    <xf numFmtId="1" fontId="0" fillId="0" borderId="6" xfId="0" applyNumberFormat="1" applyFont="1" applyBorder="1"/>
    <xf numFmtId="0" fontId="0" fillId="0" borderId="6" xfId="0" applyFont="1" applyBorder="1" applyAlignment="1">
      <alignment horizontal="right"/>
    </xf>
    <xf numFmtId="164" fontId="0" fillId="0" borderId="6" xfId="1" applyNumberFormat="1" applyFont="1" applyBorder="1"/>
    <xf numFmtId="0" fontId="3" fillId="7" borderId="5" xfId="0" applyFont="1" applyFill="1" applyBorder="1" applyAlignment="1">
      <alignment horizontal="center" vertical="center" wrapText="1"/>
    </xf>
    <xf numFmtId="0" fontId="0" fillId="0" borderId="6" xfId="0" applyFont="1" applyBorder="1"/>
    <xf numFmtId="0" fontId="3" fillId="7" borderId="7" xfId="0" applyFont="1" applyFill="1" applyBorder="1" applyAlignment="1">
      <alignment horizontal="center" vertical="center" wrapText="1"/>
    </xf>
    <xf numFmtId="0" fontId="0" fillId="0" borderId="8" xfId="0" applyFont="1" applyBorder="1"/>
    <xf numFmtId="0" fontId="2" fillId="0" borderId="3" xfId="0" applyFont="1" applyBorder="1" applyAlignment="1">
      <alignment horizontal="center" vertical="center" wrapText="1"/>
    </xf>
    <xf numFmtId="0" fontId="0" fillId="0" borderId="4" xfId="0" applyFont="1" applyBorder="1"/>
    <xf numFmtId="0" fontId="2" fillId="0" borderId="5" xfId="0" applyFont="1" applyBorder="1" applyAlignment="1">
      <alignment horizontal="center" vertical="center" wrapText="1"/>
    </xf>
    <xf numFmtId="0" fontId="0" fillId="3" borderId="5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48047</xdr:colOff>
          <xdr:row>0</xdr:row>
          <xdr:rowOff>95249</xdr:rowOff>
        </xdr:from>
        <xdr:to>
          <xdr:col>1</xdr:col>
          <xdr:colOff>632459</xdr:colOff>
          <xdr:row>2</xdr:row>
          <xdr:rowOff>135254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229"/>
  <sheetViews>
    <sheetView showGridLines="0" tabSelected="1" zoomScaleNormal="100" workbookViewId="0">
      <selection activeCell="B9" sqref="B9"/>
    </sheetView>
  </sheetViews>
  <sheetFormatPr baseColWidth="10" defaultColWidth="11.5546875" defaultRowHeight="14.4" x14ac:dyDescent="0.3"/>
  <cols>
    <col min="1" max="1" width="39.109375" bestFit="1" customWidth="1"/>
    <col min="2" max="2" width="11.88671875" customWidth="1"/>
    <col min="3" max="3" width="5.109375" customWidth="1"/>
  </cols>
  <sheetData>
    <row r="1" spans="1:9" ht="19.2" customHeight="1" x14ac:dyDescent="0.3">
      <c r="A1" s="20"/>
      <c r="B1" s="20"/>
      <c r="C1" s="19"/>
    </row>
    <row r="2" spans="1:9" ht="14.4" customHeight="1" x14ac:dyDescent="0.3">
      <c r="A2" s="20"/>
      <c r="B2" s="20"/>
      <c r="C2" s="19"/>
      <c r="D2" s="16" t="s">
        <v>17</v>
      </c>
      <c r="E2" s="15"/>
      <c r="F2" s="15"/>
      <c r="G2" s="15"/>
      <c r="H2" s="15"/>
      <c r="I2" s="15"/>
    </row>
    <row r="3" spans="1:9" ht="18.600000000000001" customHeight="1" thickBot="1" x14ac:dyDescent="0.35">
      <c r="A3" s="2"/>
      <c r="B3" s="21"/>
      <c r="C3" s="19"/>
      <c r="D3">
        <v>0</v>
      </c>
      <c r="E3">
        <v>1</v>
      </c>
      <c r="F3">
        <v>2</v>
      </c>
      <c r="G3">
        <v>3</v>
      </c>
      <c r="H3">
        <v>4</v>
      </c>
      <c r="I3">
        <v>5</v>
      </c>
    </row>
    <row r="4" spans="1:9" x14ac:dyDescent="0.3">
      <c r="A4" s="25" t="s">
        <v>0</v>
      </c>
      <c r="B4" s="26">
        <v>100</v>
      </c>
      <c r="C4" s="19"/>
      <c r="I4">
        <v>248.83199999999997</v>
      </c>
    </row>
    <row r="5" spans="1:9" x14ac:dyDescent="0.3">
      <c r="A5" s="27" t="s">
        <v>1</v>
      </c>
      <c r="B5" s="28">
        <v>100</v>
      </c>
      <c r="C5" s="19"/>
      <c r="H5">
        <v>207.35999999999999</v>
      </c>
    </row>
    <row r="6" spans="1:9" x14ac:dyDescent="0.3">
      <c r="A6" s="27" t="s">
        <v>3</v>
      </c>
      <c r="B6" s="29">
        <v>1.2</v>
      </c>
      <c r="C6" s="19"/>
      <c r="G6">
        <v>172.79999999999998</v>
      </c>
      <c r="I6">
        <v>165.88799999999998</v>
      </c>
    </row>
    <row r="7" spans="1:9" x14ac:dyDescent="0.3">
      <c r="A7" s="27" t="s">
        <v>2</v>
      </c>
      <c r="B7" s="29">
        <v>0.8</v>
      </c>
      <c r="C7" s="19"/>
      <c r="F7">
        <v>144</v>
      </c>
      <c r="H7">
        <v>138.23999999999998</v>
      </c>
    </row>
    <row r="8" spans="1:9" x14ac:dyDescent="0.3">
      <c r="A8" s="27" t="s">
        <v>4</v>
      </c>
      <c r="B8" s="29">
        <v>1.5</v>
      </c>
      <c r="C8" s="19"/>
      <c r="E8">
        <v>120</v>
      </c>
      <c r="G8">
        <v>115.19999999999999</v>
      </c>
      <c r="I8">
        <v>110.592</v>
      </c>
    </row>
    <row r="9" spans="1:9" x14ac:dyDescent="0.3">
      <c r="A9" s="27" t="s">
        <v>18</v>
      </c>
      <c r="B9" s="30">
        <v>5</v>
      </c>
      <c r="C9" s="19"/>
      <c r="D9">
        <v>100</v>
      </c>
      <c r="F9">
        <v>96</v>
      </c>
      <c r="H9">
        <v>92.16</v>
      </c>
    </row>
    <row r="10" spans="1:9" x14ac:dyDescent="0.3">
      <c r="A10" s="27" t="s">
        <v>5</v>
      </c>
      <c r="B10" s="31" t="s">
        <v>21</v>
      </c>
      <c r="C10" s="19"/>
      <c r="E10">
        <v>80</v>
      </c>
      <c r="G10">
        <v>76.8</v>
      </c>
      <c r="I10">
        <v>73.727999999999994</v>
      </c>
    </row>
    <row r="11" spans="1:9" x14ac:dyDescent="0.3">
      <c r="A11" s="27" t="s">
        <v>6</v>
      </c>
      <c r="B11" s="32">
        <v>7.5399999999999995E-2</v>
      </c>
      <c r="C11" s="19"/>
      <c r="F11">
        <v>64</v>
      </c>
      <c r="H11">
        <v>61.44</v>
      </c>
    </row>
    <row r="12" spans="1:9" ht="14.4" customHeight="1" x14ac:dyDescent="0.3">
      <c r="A12" s="33" t="s">
        <v>7</v>
      </c>
      <c r="B12" s="34">
        <v>0</v>
      </c>
      <c r="C12" s="19"/>
      <c r="G12">
        <v>51.2</v>
      </c>
      <c r="I12">
        <v>49.152000000000008</v>
      </c>
    </row>
    <row r="13" spans="1:9" ht="15" thickBot="1" x14ac:dyDescent="0.35">
      <c r="A13" s="35"/>
      <c r="B13" s="36"/>
      <c r="C13" s="19"/>
      <c r="H13">
        <v>40.960000000000008</v>
      </c>
    </row>
    <row r="14" spans="1:9" x14ac:dyDescent="0.3">
      <c r="A14" s="19"/>
      <c r="B14" s="19"/>
      <c r="C14" s="19"/>
      <c r="I14">
        <v>32.768000000000008</v>
      </c>
    </row>
    <row r="15" spans="1:9" x14ac:dyDescent="0.3">
      <c r="A15" s="19"/>
      <c r="B15" s="19"/>
      <c r="C15" s="19"/>
      <c r="D15" s="16" t="s">
        <v>15</v>
      </c>
      <c r="E15" s="15"/>
      <c r="F15" s="15"/>
      <c r="G15" s="15"/>
      <c r="H15" s="15"/>
      <c r="I15" s="15"/>
    </row>
    <row r="16" spans="1:9" ht="15" thickBot="1" x14ac:dyDescent="0.35">
      <c r="A16" s="19"/>
      <c r="B16" s="19"/>
      <c r="C16" s="19"/>
      <c r="D16">
        <v>0</v>
      </c>
      <c r="E16">
        <v>1</v>
      </c>
      <c r="F16">
        <v>2</v>
      </c>
      <c r="G16">
        <v>3</v>
      </c>
      <c r="H16">
        <v>4</v>
      </c>
      <c r="I16">
        <v>5</v>
      </c>
    </row>
    <row r="17" spans="1:9" x14ac:dyDescent="0.3">
      <c r="A17" s="37" t="s">
        <v>8</v>
      </c>
      <c r="B17" s="38"/>
      <c r="C17" s="19"/>
      <c r="I17">
        <v>148.83199999999997</v>
      </c>
    </row>
    <row r="18" spans="1:9" ht="15" thickBot="1" x14ac:dyDescent="0.35">
      <c r="A18" s="39"/>
      <c r="B18" s="34"/>
      <c r="C18" s="19"/>
      <c r="H18">
        <v>107.94304099999998</v>
      </c>
    </row>
    <row r="19" spans="1:9" x14ac:dyDescent="0.3">
      <c r="A19" s="42" t="s">
        <v>9</v>
      </c>
      <c r="B19" s="38">
        <f>IF(AND(ISBLANK(B4) = FALSE,ISBLANK(B5) = FALSE,ISBLANK(B6) = FALSE,ISBLANK(B7) = FALSE,ISBLANK(B8) = FALSE,ISBLANK(B9) = FALSE,ISBLANK(B10) = FALSE,ISBLANK(B11) = FALSE), ((B23-B7)/(B6-B7))," ")</f>
        <v>0.51466150760052909</v>
      </c>
      <c r="C19" s="19"/>
      <c r="G19">
        <v>73.962682631923158</v>
      </c>
      <c r="I19">
        <v>65.887999999999977</v>
      </c>
    </row>
    <row r="20" spans="1:9" x14ac:dyDescent="0.3">
      <c r="A20" s="40" t="s">
        <v>10</v>
      </c>
      <c r="B20" s="34">
        <f>IF(AND(ISBLANK(B4) = FALSE,ISBLANK(B5) = FALSE,ISBLANK(B6) = FALSE,ISBLANK(B7) = FALSE,ISBLANK(B8) = FALSE,ISBLANK(B9) = FALSE,ISBLANK(B10) = FALSE,ISBLANK(B11) = FALSE),1-B19," ")</f>
        <v>0.48533849239947091</v>
      </c>
      <c r="C20" s="19"/>
      <c r="F20">
        <v>48.690213536383489</v>
      </c>
      <c r="H20">
        <v>38.823040999999982</v>
      </c>
    </row>
    <row r="21" spans="1:9" x14ac:dyDescent="0.3">
      <c r="A21" s="40" t="s">
        <v>13</v>
      </c>
      <c r="B21" s="29">
        <v>0.5</v>
      </c>
      <c r="C21" s="19"/>
      <c r="E21">
        <v>31.108139868686091</v>
      </c>
      <c r="G21">
        <v>22.47919077519343</v>
      </c>
      <c r="I21">
        <v>10.591999999999999</v>
      </c>
    </row>
    <row r="22" spans="1:9" x14ac:dyDescent="0.3">
      <c r="A22" s="40" t="s">
        <v>12</v>
      </c>
      <c r="B22" s="34">
        <v>0.99416959000000005</v>
      </c>
      <c r="C22" s="19"/>
      <c r="D22">
        <v>19.417010879139092</v>
      </c>
      <c r="F22">
        <v>12.839694674741395</v>
      </c>
      <c r="H22">
        <v>5.419511405439998</v>
      </c>
    </row>
    <row r="23" spans="1:9" ht="15" thickBot="1" x14ac:dyDescent="0.35">
      <c r="A23" s="41" t="s">
        <v>11</v>
      </c>
      <c r="B23" s="36">
        <f>IF(AND(ISBLANK(B4) = FALSE,ISBLANK(B5) = FALSE,ISBLANK(B6) = FALSE,ISBLANK(B7) = FALSE,ISBLANK(B8) = FALSE,ISBLANK(B9) = FALSE,ISBLANK(B10) = FALSE,ISBLANK(B11) = FALSE),1/B22," ")</f>
        <v>1.0058646030402116</v>
      </c>
      <c r="C23" s="19"/>
      <c r="E23">
        <v>7.2541573187415329</v>
      </c>
      <c r="G23">
        <v>2.7729516497067817</v>
      </c>
      <c r="I23">
        <v>0</v>
      </c>
    </row>
    <row r="24" spans="1:9" x14ac:dyDescent="0.3">
      <c r="A24" s="19"/>
      <c r="B24" s="19"/>
      <c r="C24" s="19"/>
      <c r="F24">
        <v>1.4188107149093243</v>
      </c>
      <c r="H24">
        <v>0</v>
      </c>
    </row>
    <row r="25" spans="1:9" ht="15" thickBot="1" x14ac:dyDescent="0.35">
      <c r="A25" s="19"/>
      <c r="B25" s="19"/>
      <c r="C25" s="19"/>
      <c r="G25">
        <v>0</v>
      </c>
      <c r="I25">
        <v>0</v>
      </c>
    </row>
    <row r="26" spans="1:9" ht="15" thickBot="1" x14ac:dyDescent="0.35">
      <c r="A26" s="23" t="s">
        <v>14</v>
      </c>
      <c r="B26" s="24">
        <v>19.417010879139092</v>
      </c>
      <c r="C26" s="19"/>
      <c r="H26">
        <v>0</v>
      </c>
    </row>
    <row r="27" spans="1:9" x14ac:dyDescent="0.3">
      <c r="A27" s="19"/>
      <c r="B27" s="19"/>
      <c r="C27" s="19"/>
      <c r="I27">
        <v>0</v>
      </c>
    </row>
    <row r="28" spans="1:9" ht="14.4" customHeight="1" x14ac:dyDescent="0.3">
      <c r="A28" s="22"/>
      <c r="B28" s="22"/>
      <c r="C28" s="19"/>
      <c r="D28" s="16" t="s">
        <v>16</v>
      </c>
      <c r="E28" s="15"/>
      <c r="F28" s="15"/>
      <c r="G28" s="15"/>
      <c r="H28" s="15"/>
      <c r="I28" s="15"/>
    </row>
    <row r="29" spans="1:9" x14ac:dyDescent="0.3">
      <c r="A29" s="22"/>
      <c r="B29" s="22"/>
      <c r="C29" s="19"/>
      <c r="D29">
        <v>0</v>
      </c>
      <c r="E29">
        <v>1</v>
      </c>
      <c r="F29">
        <v>2</v>
      </c>
      <c r="G29">
        <v>3</v>
      </c>
      <c r="H29">
        <v>4</v>
      </c>
    </row>
    <row r="30" spans="1:9" x14ac:dyDescent="0.3">
      <c r="A30" s="22"/>
      <c r="B30" s="22"/>
      <c r="C30" s="19"/>
      <c r="H30">
        <v>1</v>
      </c>
    </row>
    <row r="31" spans="1:9" x14ac:dyDescent="0.3">
      <c r="A31" s="22"/>
      <c r="B31" s="22"/>
      <c r="C31" s="19"/>
      <c r="G31">
        <v>1</v>
      </c>
    </row>
    <row r="32" spans="1:9" x14ac:dyDescent="0.3">
      <c r="A32" s="22"/>
      <c r="B32" s="22"/>
      <c r="C32" s="19"/>
      <c r="F32">
        <v>0.89381062251266896</v>
      </c>
      <c r="H32">
        <v>1</v>
      </c>
    </row>
    <row r="33" spans="1:9" x14ac:dyDescent="0.3">
      <c r="A33" s="22"/>
      <c r="B33" s="22"/>
      <c r="C33" s="19"/>
      <c r="E33">
        <v>0.74688580961754358</v>
      </c>
      <c r="G33">
        <v>0.72490298599305547</v>
      </c>
    </row>
    <row r="34" spans="1:9" x14ac:dyDescent="0.3">
      <c r="A34" s="22"/>
      <c r="B34" s="22"/>
      <c r="C34" s="19"/>
      <c r="D34">
        <v>0.59634956374861392</v>
      </c>
      <c r="F34">
        <v>0.51318331055954824</v>
      </c>
      <c r="H34">
        <v>0.28732638888888884</v>
      </c>
    </row>
    <row r="35" spans="1:9" x14ac:dyDescent="0.3">
      <c r="A35" s="22"/>
      <c r="B35" s="22"/>
      <c r="C35" s="19"/>
      <c r="E35">
        <v>0.35690262374475223</v>
      </c>
      <c r="G35">
        <v>0.17641638689583328</v>
      </c>
    </row>
    <row r="36" spans="1:9" ht="15.6" x14ac:dyDescent="0.3">
      <c r="A36" s="18"/>
      <c r="B36" s="18"/>
      <c r="C36" s="17"/>
      <c r="F36">
        <v>0.10831842381667119</v>
      </c>
      <c r="H36">
        <v>0</v>
      </c>
    </row>
    <row r="37" spans="1:9" ht="15.6" x14ac:dyDescent="0.3">
      <c r="A37" s="18"/>
      <c r="B37" s="18"/>
      <c r="C37" s="17"/>
      <c r="G37">
        <v>0</v>
      </c>
    </row>
    <row r="38" spans="1:9" ht="15.6" x14ac:dyDescent="0.3">
      <c r="A38" s="18"/>
      <c r="B38" s="18"/>
      <c r="C38" s="17"/>
      <c r="H38">
        <v>0</v>
      </c>
    </row>
    <row r="39" spans="1:9" ht="15.6" x14ac:dyDescent="0.3">
      <c r="A39" s="18"/>
      <c r="B39" s="18"/>
      <c r="C39" s="17"/>
      <c r="D39" s="16" t="s">
        <v>19</v>
      </c>
      <c r="E39" s="15"/>
      <c r="F39" s="15"/>
      <c r="G39" s="15"/>
      <c r="H39" s="15"/>
      <c r="I39" s="15"/>
    </row>
    <row r="40" spans="1:9" ht="15.6" x14ac:dyDescent="0.3">
      <c r="A40" s="18"/>
      <c r="B40" s="18"/>
      <c r="C40" s="17"/>
      <c r="D40">
        <v>0</v>
      </c>
      <c r="E40">
        <v>1</v>
      </c>
      <c r="F40">
        <v>2</v>
      </c>
      <c r="G40">
        <v>3</v>
      </c>
      <c r="H40">
        <v>4</v>
      </c>
    </row>
    <row r="41" spans="1:9" ht="15.6" x14ac:dyDescent="0.3">
      <c r="A41" s="17" t="s">
        <v>20</v>
      </c>
      <c r="B41" s="17"/>
      <c r="C41" s="17"/>
      <c r="H41">
        <v>-99.416959000000006</v>
      </c>
    </row>
    <row r="42" spans="1:9" ht="15.6" x14ac:dyDescent="0.3">
      <c r="A42" s="17"/>
      <c r="B42" s="17"/>
      <c r="C42" s="17"/>
      <c r="G42">
        <v>-98.837317368076825</v>
      </c>
    </row>
    <row r="43" spans="1:9" ht="15.6" x14ac:dyDescent="0.3">
      <c r="A43" s="17"/>
      <c r="B43" s="17"/>
      <c r="C43" s="17"/>
      <c r="F43">
        <v>-80.018516105440838</v>
      </c>
      <c r="H43">
        <v>-99.416959000000006</v>
      </c>
    </row>
    <row r="44" spans="1:9" ht="15.6" x14ac:dyDescent="0.3">
      <c r="A44" s="17"/>
      <c r="B44" s="17"/>
      <c r="C44" s="17"/>
      <c r="E44">
        <v>-58.518157285419136</v>
      </c>
      <c r="G44">
        <v>-61.029633211206558</v>
      </c>
    </row>
    <row r="45" spans="1:9" ht="15.6" x14ac:dyDescent="0.3">
      <c r="A45" s="17"/>
      <c r="B45" s="17"/>
      <c r="C45" s="17"/>
      <c r="D45">
        <v>-40.217945495722297</v>
      </c>
      <c r="F45">
        <v>-36.425903138975237</v>
      </c>
      <c r="H45">
        <v>-21.060488594559995</v>
      </c>
    </row>
    <row r="46" spans="1:9" ht="15.6" x14ac:dyDescent="0.3">
      <c r="A46" s="17"/>
      <c r="B46" s="17"/>
      <c r="C46" s="17"/>
      <c r="E46">
        <v>-21.29805258083865</v>
      </c>
      <c r="G46">
        <v>-10.775826863893213</v>
      </c>
    </row>
    <row r="47" spans="1:9" ht="15.6" x14ac:dyDescent="0.3">
      <c r="A47" s="17"/>
      <c r="B47" s="17"/>
      <c r="C47" s="17"/>
      <c r="F47">
        <v>-5.5135684093576316</v>
      </c>
      <c r="H47">
        <v>0</v>
      </c>
    </row>
    <row r="48" spans="1:9" ht="15.6" x14ac:dyDescent="0.3">
      <c r="A48" s="17"/>
      <c r="B48" s="17"/>
      <c r="C48" s="17"/>
      <c r="G48">
        <v>0</v>
      </c>
    </row>
    <row r="49" spans="1:8" ht="15.6" x14ac:dyDescent="0.3">
      <c r="A49" s="17"/>
      <c r="B49" s="17"/>
      <c r="C49" s="17"/>
      <c r="H49">
        <v>0</v>
      </c>
    </row>
    <row r="50" spans="1:8" ht="15.6" x14ac:dyDescent="0.3">
      <c r="A50" s="17"/>
      <c r="B50" s="17"/>
      <c r="C50" s="17"/>
    </row>
    <row r="51" spans="1:8" ht="15.6" x14ac:dyDescent="0.3">
      <c r="A51" s="17"/>
      <c r="B51" s="17"/>
      <c r="C51" s="17"/>
    </row>
    <row r="52" spans="1:8" ht="15.6" x14ac:dyDescent="0.3">
      <c r="A52" s="17"/>
      <c r="B52" s="17"/>
      <c r="C52" s="17"/>
    </row>
    <row r="53" spans="1:8" ht="15.6" x14ac:dyDescent="0.3">
      <c r="A53" s="17"/>
      <c r="B53" s="17"/>
      <c r="C53" s="17"/>
    </row>
    <row r="54" spans="1:8" ht="15.6" x14ac:dyDescent="0.3">
      <c r="A54" s="17"/>
      <c r="B54" s="17"/>
      <c r="C54" s="17"/>
    </row>
    <row r="55" spans="1:8" ht="15.6" x14ac:dyDescent="0.3">
      <c r="A55" s="17"/>
      <c r="B55" s="17"/>
      <c r="C55" s="17"/>
    </row>
    <row r="56" spans="1:8" ht="15.6" x14ac:dyDescent="0.3">
      <c r="A56" s="17"/>
      <c r="B56" s="17"/>
      <c r="C56" s="17"/>
    </row>
    <row r="57" spans="1:8" ht="15.6" x14ac:dyDescent="0.3">
      <c r="A57" s="17"/>
      <c r="B57" s="17"/>
      <c r="C57" s="17"/>
    </row>
    <row r="58" spans="1:8" ht="15.6" x14ac:dyDescent="0.3">
      <c r="A58" s="17"/>
      <c r="B58" s="17"/>
      <c r="C58" s="17"/>
    </row>
    <row r="59" spans="1:8" ht="15.6" x14ac:dyDescent="0.3">
      <c r="A59" s="17"/>
      <c r="B59" s="17"/>
      <c r="C59" s="17"/>
    </row>
    <row r="60" spans="1:8" ht="15.6" x14ac:dyDescent="0.3">
      <c r="A60" s="17"/>
      <c r="B60" s="17"/>
      <c r="C60" s="17"/>
    </row>
    <row r="61" spans="1:8" ht="15.6" x14ac:dyDescent="0.3">
      <c r="A61" s="17"/>
      <c r="B61" s="17"/>
      <c r="C61" s="17"/>
    </row>
    <row r="62" spans="1:8" ht="15.6" x14ac:dyDescent="0.3">
      <c r="A62" s="17"/>
      <c r="B62" s="17"/>
      <c r="C62" s="17"/>
    </row>
    <row r="63" spans="1:8" ht="15.6" x14ac:dyDescent="0.3">
      <c r="A63" s="17"/>
      <c r="B63" s="17"/>
      <c r="C63" s="17"/>
    </row>
    <row r="64" spans="1:8" ht="15.6" x14ac:dyDescent="0.3">
      <c r="A64" s="17"/>
      <c r="B64" s="17"/>
      <c r="C64" s="17"/>
    </row>
    <row r="65" spans="1:3" ht="15.6" x14ac:dyDescent="0.3">
      <c r="A65" s="17"/>
      <c r="B65" s="17"/>
      <c r="C65" s="17"/>
    </row>
    <row r="66" spans="1:3" ht="15.6" x14ac:dyDescent="0.3">
      <c r="A66" s="17"/>
      <c r="B66" s="17"/>
      <c r="C66" s="17"/>
    </row>
    <row r="67" spans="1:3" ht="15.6" x14ac:dyDescent="0.3">
      <c r="A67" s="17"/>
      <c r="B67" s="17"/>
      <c r="C67" s="17"/>
    </row>
    <row r="68" spans="1:3" ht="15.6" x14ac:dyDescent="0.3">
      <c r="A68" s="17"/>
      <c r="B68" s="17"/>
      <c r="C68" s="17"/>
    </row>
    <row r="69" spans="1:3" ht="15.6" x14ac:dyDescent="0.3">
      <c r="A69" s="17"/>
      <c r="B69" s="17"/>
      <c r="C69" s="17"/>
    </row>
    <row r="70" spans="1:3" ht="15.6" x14ac:dyDescent="0.3">
      <c r="A70" s="17"/>
      <c r="B70" s="17"/>
      <c r="C70" s="17"/>
    </row>
    <row r="71" spans="1:3" ht="15.6" x14ac:dyDescent="0.3">
      <c r="A71" s="17"/>
      <c r="B71" s="17"/>
      <c r="C71" s="17"/>
    </row>
    <row r="72" spans="1:3" ht="15.6" x14ac:dyDescent="0.3">
      <c r="A72" s="17"/>
      <c r="B72" s="17"/>
      <c r="C72" s="17"/>
    </row>
    <row r="73" spans="1:3" ht="15.6" x14ac:dyDescent="0.3">
      <c r="A73" s="17"/>
      <c r="B73" s="17"/>
      <c r="C73" s="17"/>
    </row>
    <row r="74" spans="1:3" ht="15.6" x14ac:dyDescent="0.3">
      <c r="A74" s="17"/>
      <c r="B74" s="17"/>
      <c r="C74" s="17"/>
    </row>
    <row r="75" spans="1:3" ht="15.6" x14ac:dyDescent="0.3">
      <c r="A75" s="17"/>
      <c r="B75" s="17"/>
      <c r="C75" s="17"/>
    </row>
    <row r="76" spans="1:3" ht="15.6" x14ac:dyDescent="0.3">
      <c r="A76" s="17"/>
      <c r="B76" s="17"/>
      <c r="C76" s="17"/>
    </row>
    <row r="77" spans="1:3" ht="15.6" x14ac:dyDescent="0.3">
      <c r="A77" s="17"/>
      <c r="B77" s="17"/>
      <c r="C77" s="17"/>
    </row>
    <row r="78" spans="1:3" ht="15.6" x14ac:dyDescent="0.3">
      <c r="A78" s="17"/>
      <c r="B78" s="17"/>
      <c r="C78" s="17"/>
    </row>
    <row r="79" spans="1:3" ht="15.6" x14ac:dyDescent="0.3">
      <c r="A79" s="17"/>
      <c r="B79" s="17"/>
      <c r="C79" s="17"/>
    </row>
    <row r="80" spans="1:3" ht="15.6" x14ac:dyDescent="0.3">
      <c r="A80" s="17"/>
      <c r="B80" s="17"/>
      <c r="C80" s="17"/>
    </row>
    <row r="81" spans="1:3" ht="15.6" x14ac:dyDescent="0.3">
      <c r="A81" s="17"/>
      <c r="B81" s="17"/>
      <c r="C81" s="17"/>
    </row>
    <row r="82" spans="1:3" ht="15.6" x14ac:dyDescent="0.3">
      <c r="A82" s="17"/>
      <c r="B82" s="17"/>
      <c r="C82" s="17"/>
    </row>
    <row r="83" spans="1:3" ht="15.6" x14ac:dyDescent="0.3">
      <c r="A83" s="17"/>
      <c r="B83" s="17"/>
      <c r="C83" s="17"/>
    </row>
    <row r="84" spans="1:3" ht="15.6" x14ac:dyDescent="0.3">
      <c r="A84" s="17"/>
      <c r="B84" s="17"/>
      <c r="C84" s="17"/>
    </row>
    <row r="85" spans="1:3" ht="15.6" x14ac:dyDescent="0.3">
      <c r="A85" s="17"/>
      <c r="B85" s="17"/>
      <c r="C85" s="17"/>
    </row>
    <row r="86" spans="1:3" ht="15.6" x14ac:dyDescent="0.3">
      <c r="A86" s="17"/>
      <c r="B86" s="17"/>
      <c r="C86" s="17"/>
    </row>
    <row r="87" spans="1:3" ht="15.6" x14ac:dyDescent="0.3">
      <c r="A87" s="17"/>
      <c r="B87" s="17"/>
      <c r="C87" s="17"/>
    </row>
    <row r="88" spans="1:3" ht="15.6" x14ac:dyDescent="0.3">
      <c r="A88" s="17"/>
      <c r="B88" s="17"/>
      <c r="C88" s="17"/>
    </row>
    <row r="89" spans="1:3" ht="15.6" x14ac:dyDescent="0.3">
      <c r="A89" s="17"/>
      <c r="B89" s="17"/>
      <c r="C89" s="17"/>
    </row>
    <row r="90" spans="1:3" ht="15.6" x14ac:dyDescent="0.3">
      <c r="A90" s="17"/>
      <c r="B90" s="17"/>
      <c r="C90" s="17"/>
    </row>
    <row r="91" spans="1:3" ht="15.6" x14ac:dyDescent="0.3">
      <c r="A91" s="17"/>
      <c r="B91" s="17"/>
      <c r="C91" s="17"/>
    </row>
    <row r="92" spans="1:3" ht="15.6" x14ac:dyDescent="0.3">
      <c r="A92" s="17"/>
      <c r="B92" s="17"/>
      <c r="C92" s="17"/>
    </row>
    <row r="93" spans="1:3" ht="15.6" x14ac:dyDescent="0.3">
      <c r="A93" s="17"/>
      <c r="B93" s="17"/>
      <c r="C93" s="17"/>
    </row>
    <row r="94" spans="1:3" ht="15.6" x14ac:dyDescent="0.3">
      <c r="A94" s="17"/>
      <c r="B94" s="17"/>
      <c r="C94" s="17"/>
    </row>
    <row r="95" spans="1:3" ht="15.6" x14ac:dyDescent="0.3">
      <c r="A95" s="17"/>
      <c r="B95" s="17"/>
      <c r="C95" s="17"/>
    </row>
    <row r="96" spans="1:3" ht="15.6" x14ac:dyDescent="0.3">
      <c r="A96" s="17"/>
      <c r="B96" s="17"/>
      <c r="C96" s="17"/>
    </row>
    <row r="97" spans="1:3" ht="15.6" x14ac:dyDescent="0.3">
      <c r="A97" s="17"/>
      <c r="B97" s="17"/>
      <c r="C97" s="17"/>
    </row>
    <row r="98" spans="1:3" ht="15.6" x14ac:dyDescent="0.3">
      <c r="A98" s="17"/>
      <c r="B98" s="17"/>
      <c r="C98" s="17"/>
    </row>
    <row r="99" spans="1:3" ht="15.6" x14ac:dyDescent="0.3">
      <c r="A99" s="17"/>
      <c r="B99" s="17"/>
      <c r="C99" s="17"/>
    </row>
    <row r="100" spans="1:3" ht="15.6" x14ac:dyDescent="0.3">
      <c r="A100" s="17"/>
      <c r="B100" s="17"/>
      <c r="C100" s="17"/>
    </row>
    <row r="101" spans="1:3" ht="15.6" x14ac:dyDescent="0.3">
      <c r="A101" s="17"/>
      <c r="B101" s="17"/>
      <c r="C101" s="17"/>
    </row>
    <row r="102" spans="1:3" ht="15.6" x14ac:dyDescent="0.3">
      <c r="A102" s="17"/>
      <c r="B102" s="17"/>
      <c r="C102" s="17"/>
    </row>
    <row r="103" spans="1:3" ht="15.6" x14ac:dyDescent="0.3">
      <c r="A103" s="17"/>
      <c r="B103" s="17"/>
      <c r="C103" s="17"/>
    </row>
    <row r="104" spans="1:3" ht="15.6" x14ac:dyDescent="0.3">
      <c r="A104" s="17"/>
      <c r="B104" s="17"/>
      <c r="C104" s="17"/>
    </row>
    <row r="105" spans="1:3" ht="15.6" x14ac:dyDescent="0.3">
      <c r="A105" s="17"/>
      <c r="B105" s="17"/>
      <c r="C105" s="17"/>
    </row>
    <row r="106" spans="1:3" ht="15.6" x14ac:dyDescent="0.3">
      <c r="A106" s="17"/>
      <c r="B106" s="17"/>
      <c r="C106" s="17"/>
    </row>
    <row r="107" spans="1:3" ht="15.6" x14ac:dyDescent="0.3">
      <c r="A107" s="17"/>
      <c r="B107" s="17"/>
      <c r="C107" s="17"/>
    </row>
    <row r="108" spans="1:3" ht="15.6" x14ac:dyDescent="0.3">
      <c r="A108" s="17"/>
      <c r="B108" s="17"/>
      <c r="C108" s="17"/>
    </row>
    <row r="109" spans="1:3" ht="15.6" x14ac:dyDescent="0.3">
      <c r="A109" s="17"/>
      <c r="B109" s="17"/>
      <c r="C109" s="17"/>
    </row>
    <row r="110" spans="1:3" ht="15.6" x14ac:dyDescent="0.3">
      <c r="A110" s="17"/>
      <c r="B110" s="17"/>
      <c r="C110" s="17"/>
    </row>
    <row r="111" spans="1:3" ht="15.6" x14ac:dyDescent="0.3">
      <c r="A111" s="17"/>
      <c r="B111" s="17"/>
      <c r="C111" s="17"/>
    </row>
    <row r="112" spans="1:3" ht="15.6" x14ac:dyDescent="0.3">
      <c r="A112" s="17"/>
      <c r="B112" s="17"/>
      <c r="C112" s="17"/>
    </row>
    <row r="113" spans="1:3" ht="15.6" x14ac:dyDescent="0.3">
      <c r="A113" s="17"/>
      <c r="B113" s="17"/>
      <c r="C113" s="17"/>
    </row>
    <row r="114" spans="1:3" ht="15.6" x14ac:dyDescent="0.3">
      <c r="A114" s="17"/>
      <c r="B114" s="17"/>
      <c r="C114" s="17"/>
    </row>
    <row r="115" spans="1:3" ht="15.6" x14ac:dyDescent="0.3">
      <c r="A115" s="17"/>
      <c r="B115" s="17"/>
      <c r="C115" s="17"/>
    </row>
    <row r="116" spans="1:3" ht="15.6" x14ac:dyDescent="0.3">
      <c r="A116" s="17"/>
      <c r="B116" s="17"/>
      <c r="C116" s="17"/>
    </row>
    <row r="117" spans="1:3" ht="15.6" x14ac:dyDescent="0.3">
      <c r="A117" s="17"/>
      <c r="B117" s="17"/>
      <c r="C117" s="17"/>
    </row>
    <row r="118" spans="1:3" ht="15.6" x14ac:dyDescent="0.3">
      <c r="A118" s="17"/>
      <c r="B118" s="17"/>
      <c r="C118" s="17"/>
    </row>
    <row r="119" spans="1:3" ht="15.6" x14ac:dyDescent="0.3">
      <c r="A119" s="17"/>
      <c r="B119" s="17"/>
      <c r="C119" s="17"/>
    </row>
    <row r="120" spans="1:3" ht="15.6" x14ac:dyDescent="0.3">
      <c r="A120" s="17"/>
      <c r="B120" s="17"/>
      <c r="C120" s="17"/>
    </row>
    <row r="121" spans="1:3" ht="15.6" x14ac:dyDescent="0.3">
      <c r="A121" s="17"/>
      <c r="B121" s="17"/>
      <c r="C121" s="17"/>
    </row>
    <row r="122" spans="1:3" ht="15.6" x14ac:dyDescent="0.3">
      <c r="A122" s="17"/>
      <c r="B122" s="17"/>
      <c r="C122" s="17"/>
    </row>
    <row r="123" spans="1:3" ht="15.6" x14ac:dyDescent="0.3">
      <c r="A123" s="17"/>
      <c r="B123" s="17"/>
      <c r="C123" s="17"/>
    </row>
    <row r="124" spans="1:3" ht="15.6" x14ac:dyDescent="0.3">
      <c r="A124" s="17"/>
      <c r="B124" s="17"/>
      <c r="C124" s="17"/>
    </row>
    <row r="125" spans="1:3" ht="15.6" x14ac:dyDescent="0.3">
      <c r="A125" s="17"/>
      <c r="B125" s="17"/>
      <c r="C125" s="17"/>
    </row>
    <row r="126" spans="1:3" ht="15.6" x14ac:dyDescent="0.3">
      <c r="A126" s="17"/>
      <c r="B126" s="17"/>
      <c r="C126" s="17"/>
    </row>
    <row r="127" spans="1:3" ht="15.6" x14ac:dyDescent="0.3">
      <c r="A127" s="17"/>
      <c r="B127" s="17"/>
      <c r="C127" s="17"/>
    </row>
    <row r="128" spans="1:3" ht="15.6" x14ac:dyDescent="0.3">
      <c r="A128" s="17"/>
      <c r="B128" s="17"/>
      <c r="C128" s="17"/>
    </row>
    <row r="129" spans="1:3" ht="15.6" x14ac:dyDescent="0.3">
      <c r="A129" s="17"/>
      <c r="B129" s="17"/>
      <c r="C129" s="17"/>
    </row>
    <row r="130" spans="1:3" ht="15.6" x14ac:dyDescent="0.3">
      <c r="A130" s="17"/>
      <c r="B130" s="17"/>
      <c r="C130" s="17"/>
    </row>
    <row r="131" spans="1:3" ht="15.6" x14ac:dyDescent="0.3">
      <c r="A131" s="17"/>
      <c r="B131" s="17"/>
      <c r="C131" s="17"/>
    </row>
    <row r="132" spans="1:3" ht="15.6" x14ac:dyDescent="0.3">
      <c r="A132" s="17"/>
      <c r="B132" s="17"/>
      <c r="C132" s="17"/>
    </row>
    <row r="133" spans="1:3" ht="15.6" x14ac:dyDescent="0.3">
      <c r="A133" s="17"/>
      <c r="B133" s="17"/>
      <c r="C133" s="17"/>
    </row>
    <row r="134" spans="1:3" ht="15.6" x14ac:dyDescent="0.3">
      <c r="A134" s="17"/>
      <c r="B134" s="17"/>
      <c r="C134" s="17"/>
    </row>
    <row r="135" spans="1:3" ht="15.6" x14ac:dyDescent="0.3">
      <c r="A135" s="17"/>
      <c r="B135" s="17"/>
      <c r="C135" s="17"/>
    </row>
    <row r="136" spans="1:3" ht="15.6" x14ac:dyDescent="0.3">
      <c r="A136" s="17"/>
      <c r="B136" s="17"/>
      <c r="C136" s="17"/>
    </row>
    <row r="137" spans="1:3" ht="15.6" x14ac:dyDescent="0.3">
      <c r="A137" s="17"/>
      <c r="B137" s="17"/>
      <c r="C137" s="17"/>
    </row>
    <row r="138" spans="1:3" ht="15.6" x14ac:dyDescent="0.3">
      <c r="A138" s="17"/>
      <c r="B138" s="17"/>
      <c r="C138" s="17"/>
    </row>
    <row r="139" spans="1:3" ht="15.6" x14ac:dyDescent="0.3">
      <c r="A139" s="17"/>
      <c r="B139" s="17"/>
      <c r="C139" s="17"/>
    </row>
    <row r="140" spans="1:3" ht="15.6" x14ac:dyDescent="0.3">
      <c r="A140" s="17"/>
      <c r="B140" s="17"/>
      <c r="C140" s="17"/>
    </row>
    <row r="141" spans="1:3" ht="15.6" x14ac:dyDescent="0.3">
      <c r="A141" s="17"/>
      <c r="B141" s="17"/>
      <c r="C141" s="17"/>
    </row>
    <row r="142" spans="1:3" ht="15.6" x14ac:dyDescent="0.3">
      <c r="A142" s="17"/>
      <c r="B142" s="17"/>
      <c r="C142" s="17"/>
    </row>
    <row r="143" spans="1:3" ht="15.6" x14ac:dyDescent="0.3">
      <c r="A143" s="17"/>
      <c r="B143" s="17"/>
      <c r="C143" s="17"/>
    </row>
    <row r="144" spans="1:3" ht="15.6" x14ac:dyDescent="0.3">
      <c r="A144" s="17"/>
      <c r="B144" s="17"/>
      <c r="C144" s="17"/>
    </row>
    <row r="145" spans="1:3" ht="15.6" x14ac:dyDescent="0.3">
      <c r="A145" s="17"/>
      <c r="B145" s="17"/>
      <c r="C145" s="17"/>
    </row>
    <row r="146" spans="1:3" ht="15.6" x14ac:dyDescent="0.3">
      <c r="A146" s="17"/>
      <c r="B146" s="17"/>
      <c r="C146" s="17"/>
    </row>
    <row r="147" spans="1:3" ht="15.6" x14ac:dyDescent="0.3">
      <c r="A147" s="17"/>
      <c r="B147" s="17"/>
      <c r="C147" s="17"/>
    </row>
    <row r="148" spans="1:3" ht="15.6" x14ac:dyDescent="0.3">
      <c r="A148" s="17"/>
      <c r="B148" s="17"/>
      <c r="C148" s="17"/>
    </row>
    <row r="149" spans="1:3" ht="15.6" x14ac:dyDescent="0.3">
      <c r="A149" s="17"/>
      <c r="B149" s="17"/>
      <c r="C149" s="17"/>
    </row>
    <row r="150" spans="1:3" ht="15.6" x14ac:dyDescent="0.3">
      <c r="A150" s="17"/>
      <c r="B150" s="17"/>
      <c r="C150" s="17"/>
    </row>
    <row r="151" spans="1:3" ht="15.6" x14ac:dyDescent="0.3">
      <c r="A151" s="17"/>
      <c r="B151" s="17"/>
      <c r="C151" s="17"/>
    </row>
    <row r="152" spans="1:3" ht="15.6" x14ac:dyDescent="0.3">
      <c r="A152" s="17"/>
      <c r="B152" s="17"/>
      <c r="C152" s="17"/>
    </row>
    <row r="153" spans="1:3" ht="15.6" x14ac:dyDescent="0.3">
      <c r="A153" s="17"/>
      <c r="B153" s="17"/>
      <c r="C153" s="17"/>
    </row>
    <row r="154" spans="1:3" ht="15.6" x14ac:dyDescent="0.3">
      <c r="A154" s="17"/>
      <c r="B154" s="17"/>
      <c r="C154" s="17"/>
    </row>
    <row r="155" spans="1:3" ht="15.6" x14ac:dyDescent="0.3">
      <c r="A155" s="17"/>
      <c r="B155" s="17"/>
      <c r="C155" s="17"/>
    </row>
    <row r="156" spans="1:3" ht="15.6" x14ac:dyDescent="0.3">
      <c r="A156" s="17"/>
      <c r="B156" s="17"/>
      <c r="C156" s="17"/>
    </row>
    <row r="157" spans="1:3" ht="15.6" x14ac:dyDescent="0.3">
      <c r="A157" s="17"/>
      <c r="B157" s="17"/>
      <c r="C157" s="17"/>
    </row>
    <row r="158" spans="1:3" ht="15.6" x14ac:dyDescent="0.3">
      <c r="A158" s="17"/>
      <c r="B158" s="17"/>
      <c r="C158" s="17"/>
    </row>
    <row r="159" spans="1:3" ht="15.6" x14ac:dyDescent="0.3">
      <c r="A159" s="17"/>
      <c r="B159" s="17"/>
      <c r="C159" s="17"/>
    </row>
    <row r="160" spans="1:3" ht="15.6" x14ac:dyDescent="0.3">
      <c r="A160" s="17"/>
      <c r="B160" s="17"/>
      <c r="C160" s="17"/>
    </row>
    <row r="161" spans="1:3" ht="15.6" x14ac:dyDescent="0.3">
      <c r="A161" s="17"/>
      <c r="B161" s="17"/>
      <c r="C161" s="17"/>
    </row>
    <row r="162" spans="1:3" ht="15.6" x14ac:dyDescent="0.3">
      <c r="A162" s="17"/>
      <c r="B162" s="17"/>
      <c r="C162" s="17"/>
    </row>
    <row r="163" spans="1:3" ht="15.6" x14ac:dyDescent="0.3">
      <c r="A163" s="17"/>
      <c r="B163" s="17"/>
      <c r="C163" s="17"/>
    </row>
    <row r="164" spans="1:3" ht="15.6" x14ac:dyDescent="0.3">
      <c r="A164" s="17"/>
      <c r="B164" s="17"/>
      <c r="C164" s="17"/>
    </row>
    <row r="165" spans="1:3" ht="15.6" x14ac:dyDescent="0.3">
      <c r="A165" s="17"/>
      <c r="B165" s="17"/>
      <c r="C165" s="17"/>
    </row>
    <row r="166" spans="1:3" ht="15.6" x14ac:dyDescent="0.3">
      <c r="A166" s="17"/>
      <c r="B166" s="17"/>
      <c r="C166" s="17"/>
    </row>
    <row r="167" spans="1:3" ht="15.6" x14ac:dyDescent="0.3">
      <c r="A167" s="17"/>
      <c r="B167" s="17"/>
      <c r="C167" s="17"/>
    </row>
    <row r="168" spans="1:3" ht="15.6" x14ac:dyDescent="0.3">
      <c r="A168" s="17"/>
      <c r="B168" s="17"/>
      <c r="C168" s="17"/>
    </row>
    <row r="169" spans="1:3" ht="15.6" x14ac:dyDescent="0.3">
      <c r="A169" s="17"/>
      <c r="B169" s="17"/>
      <c r="C169" s="17"/>
    </row>
    <row r="170" spans="1:3" ht="15.6" x14ac:dyDescent="0.3">
      <c r="A170" s="17"/>
      <c r="B170" s="17"/>
      <c r="C170" s="17"/>
    </row>
    <row r="171" spans="1:3" ht="15.6" x14ac:dyDescent="0.3">
      <c r="A171" s="17"/>
      <c r="B171" s="17"/>
      <c r="C171" s="17"/>
    </row>
    <row r="172" spans="1:3" ht="15.6" x14ac:dyDescent="0.3">
      <c r="A172" s="17"/>
      <c r="B172" s="17"/>
      <c r="C172" s="17"/>
    </row>
    <row r="173" spans="1:3" ht="15.6" x14ac:dyDescent="0.3">
      <c r="A173" s="17"/>
      <c r="B173" s="17"/>
      <c r="C173" s="17"/>
    </row>
    <row r="174" spans="1:3" ht="15.6" x14ac:dyDescent="0.3">
      <c r="A174" s="17"/>
      <c r="B174" s="17"/>
      <c r="C174" s="17"/>
    </row>
    <row r="175" spans="1:3" ht="15.6" x14ac:dyDescent="0.3">
      <c r="A175" s="17"/>
      <c r="B175" s="17"/>
      <c r="C175" s="17"/>
    </row>
    <row r="176" spans="1:3" ht="15.6" x14ac:dyDescent="0.3">
      <c r="A176" s="17"/>
      <c r="B176" s="17"/>
      <c r="C176" s="17"/>
    </row>
    <row r="177" spans="1:3" ht="15.6" x14ac:dyDescent="0.3">
      <c r="A177" s="17"/>
      <c r="B177" s="17"/>
      <c r="C177" s="17"/>
    </row>
    <row r="178" spans="1:3" ht="15.6" x14ac:dyDescent="0.3">
      <c r="A178" s="17"/>
      <c r="B178" s="17"/>
      <c r="C178" s="17"/>
    </row>
    <row r="179" spans="1:3" ht="15.6" x14ac:dyDescent="0.3">
      <c r="A179" s="17"/>
      <c r="B179" s="17"/>
      <c r="C179" s="17"/>
    </row>
    <row r="180" spans="1:3" ht="15.6" x14ac:dyDescent="0.3">
      <c r="A180" s="17"/>
      <c r="B180" s="17"/>
      <c r="C180" s="17"/>
    </row>
    <row r="181" spans="1:3" ht="15.6" x14ac:dyDescent="0.3">
      <c r="A181" s="17"/>
      <c r="B181" s="17"/>
      <c r="C181" s="17"/>
    </row>
    <row r="182" spans="1:3" ht="15.6" x14ac:dyDescent="0.3">
      <c r="A182" s="17"/>
      <c r="B182" s="17"/>
      <c r="C182" s="17"/>
    </row>
    <row r="183" spans="1:3" ht="15.6" x14ac:dyDescent="0.3">
      <c r="A183" s="17"/>
      <c r="B183" s="17"/>
      <c r="C183" s="17"/>
    </row>
    <row r="184" spans="1:3" ht="15.6" x14ac:dyDescent="0.3">
      <c r="A184" s="17"/>
      <c r="B184" s="17"/>
      <c r="C184" s="17"/>
    </row>
    <row r="185" spans="1:3" ht="15.6" x14ac:dyDescent="0.3">
      <c r="A185" s="17"/>
      <c r="B185" s="17"/>
      <c r="C185" s="17"/>
    </row>
    <row r="186" spans="1:3" ht="15.6" x14ac:dyDescent="0.3">
      <c r="A186" s="17"/>
      <c r="B186" s="17"/>
      <c r="C186" s="17"/>
    </row>
    <row r="187" spans="1:3" ht="15.6" x14ac:dyDescent="0.3">
      <c r="A187" s="17"/>
      <c r="B187" s="17"/>
      <c r="C187" s="17"/>
    </row>
    <row r="188" spans="1:3" ht="15.6" x14ac:dyDescent="0.3">
      <c r="A188" s="17"/>
      <c r="B188" s="17"/>
      <c r="C188" s="17"/>
    </row>
    <row r="189" spans="1:3" ht="15.6" x14ac:dyDescent="0.3">
      <c r="A189" s="17"/>
      <c r="B189" s="17"/>
      <c r="C189" s="17"/>
    </row>
    <row r="190" spans="1:3" ht="15.6" x14ac:dyDescent="0.3">
      <c r="A190" s="17"/>
      <c r="B190" s="17"/>
      <c r="C190" s="17"/>
    </row>
    <row r="191" spans="1:3" ht="15.6" x14ac:dyDescent="0.3">
      <c r="A191" s="17"/>
      <c r="B191" s="17"/>
      <c r="C191" s="17"/>
    </row>
    <row r="192" spans="1:3" ht="15.6" x14ac:dyDescent="0.3">
      <c r="A192" s="17"/>
      <c r="B192" s="17"/>
      <c r="C192" s="17"/>
    </row>
    <row r="193" spans="1:3" ht="15.6" x14ac:dyDescent="0.3">
      <c r="A193" s="17"/>
      <c r="B193" s="17"/>
      <c r="C193" s="17"/>
    </row>
    <row r="194" spans="1:3" ht="15.6" x14ac:dyDescent="0.3">
      <c r="A194" s="17"/>
      <c r="B194" s="17"/>
      <c r="C194" s="17"/>
    </row>
    <row r="195" spans="1:3" ht="15.6" x14ac:dyDescent="0.3">
      <c r="A195" s="17"/>
      <c r="B195" s="17"/>
      <c r="C195" s="17"/>
    </row>
    <row r="196" spans="1:3" ht="15.6" x14ac:dyDescent="0.3">
      <c r="A196" s="17"/>
      <c r="B196" s="17"/>
      <c r="C196" s="17"/>
    </row>
    <row r="197" spans="1:3" ht="15.6" x14ac:dyDescent="0.3">
      <c r="A197" s="17"/>
      <c r="B197" s="17"/>
      <c r="C197" s="17"/>
    </row>
    <row r="198" spans="1:3" ht="15.6" x14ac:dyDescent="0.3">
      <c r="A198" s="17"/>
      <c r="B198" s="17"/>
      <c r="C198" s="17"/>
    </row>
    <row r="199" spans="1:3" ht="15.6" x14ac:dyDescent="0.3">
      <c r="A199" s="17"/>
      <c r="B199" s="17"/>
      <c r="C199" s="17"/>
    </row>
    <row r="200" spans="1:3" ht="15.6" x14ac:dyDescent="0.3">
      <c r="A200" s="17"/>
      <c r="B200" s="17"/>
      <c r="C200" s="17"/>
    </row>
    <row r="201" spans="1:3" ht="15.6" x14ac:dyDescent="0.3">
      <c r="A201" s="17"/>
      <c r="B201" s="17"/>
      <c r="C201" s="17"/>
    </row>
    <row r="202" spans="1:3" ht="15.6" x14ac:dyDescent="0.3">
      <c r="A202" s="17"/>
      <c r="B202" s="17"/>
      <c r="C202" s="17"/>
    </row>
    <row r="203" spans="1:3" ht="15.6" x14ac:dyDescent="0.3">
      <c r="A203" s="17"/>
      <c r="B203" s="17"/>
      <c r="C203" s="17"/>
    </row>
    <row r="204" spans="1:3" ht="15.6" x14ac:dyDescent="0.3">
      <c r="A204" s="17"/>
      <c r="B204" s="17"/>
      <c r="C204" s="17"/>
    </row>
    <row r="205" spans="1:3" ht="15.6" x14ac:dyDescent="0.3">
      <c r="A205" s="17"/>
      <c r="B205" s="17"/>
      <c r="C205" s="17"/>
    </row>
    <row r="206" spans="1:3" ht="15.6" x14ac:dyDescent="0.3">
      <c r="A206" s="17"/>
      <c r="B206" s="17"/>
      <c r="C206" s="17"/>
    </row>
    <row r="207" spans="1:3" ht="15.6" x14ac:dyDescent="0.3">
      <c r="A207" s="17"/>
      <c r="B207" s="17"/>
      <c r="C207" s="17"/>
    </row>
    <row r="208" spans="1:3" ht="15.6" x14ac:dyDescent="0.3">
      <c r="A208" s="17"/>
      <c r="B208" s="17"/>
      <c r="C208" s="17"/>
    </row>
    <row r="209" spans="1:3" ht="15.6" x14ac:dyDescent="0.3">
      <c r="A209" s="17"/>
      <c r="B209" s="17"/>
      <c r="C209" s="17"/>
    </row>
    <row r="210" spans="1:3" ht="15.6" x14ac:dyDescent="0.3">
      <c r="A210" s="17"/>
      <c r="B210" s="17"/>
      <c r="C210" s="17"/>
    </row>
    <row r="211" spans="1:3" ht="15.6" x14ac:dyDescent="0.3">
      <c r="A211" s="17"/>
      <c r="B211" s="17"/>
      <c r="C211" s="17"/>
    </row>
    <row r="212" spans="1:3" ht="15.6" x14ac:dyDescent="0.3">
      <c r="A212" s="17"/>
      <c r="B212" s="17"/>
      <c r="C212" s="17"/>
    </row>
    <row r="213" spans="1:3" ht="15.6" x14ac:dyDescent="0.3">
      <c r="A213" s="17"/>
      <c r="B213" s="17"/>
      <c r="C213" s="17"/>
    </row>
    <row r="214" spans="1:3" ht="15.6" x14ac:dyDescent="0.3">
      <c r="A214" s="17"/>
      <c r="B214" s="17"/>
      <c r="C214" s="17"/>
    </row>
    <row r="215" spans="1:3" ht="15.6" x14ac:dyDescent="0.3">
      <c r="A215" s="17"/>
      <c r="B215" s="17"/>
      <c r="C215" s="17"/>
    </row>
    <row r="216" spans="1:3" ht="15.6" x14ac:dyDescent="0.3">
      <c r="A216" s="17"/>
      <c r="B216" s="17"/>
      <c r="C216" s="17"/>
    </row>
    <row r="217" spans="1:3" ht="15.6" x14ac:dyDescent="0.3">
      <c r="A217" s="17"/>
      <c r="B217" s="17"/>
      <c r="C217" s="17"/>
    </row>
    <row r="218" spans="1:3" ht="15.6" x14ac:dyDescent="0.3">
      <c r="A218" s="17"/>
      <c r="B218" s="17"/>
      <c r="C218" s="17"/>
    </row>
    <row r="219" spans="1:3" ht="15.6" x14ac:dyDescent="0.3">
      <c r="A219" s="17"/>
      <c r="B219" s="17"/>
      <c r="C219" s="17"/>
    </row>
    <row r="220" spans="1:3" ht="15.6" x14ac:dyDescent="0.3">
      <c r="A220" s="17"/>
      <c r="B220" s="17"/>
      <c r="C220" s="17"/>
    </row>
    <row r="221" spans="1:3" ht="15.6" x14ac:dyDescent="0.3">
      <c r="A221" s="17"/>
      <c r="B221" s="17"/>
      <c r="C221" s="17"/>
    </row>
    <row r="222" spans="1:3" ht="15.6" x14ac:dyDescent="0.3">
      <c r="A222" s="17"/>
      <c r="B222" s="17"/>
      <c r="C222" s="17"/>
    </row>
    <row r="223" spans="1:3" ht="15.6" x14ac:dyDescent="0.3">
      <c r="A223" s="17"/>
      <c r="B223" s="17"/>
      <c r="C223" s="17"/>
    </row>
    <row r="224" spans="1:3" ht="15.6" x14ac:dyDescent="0.3">
      <c r="A224" s="17"/>
      <c r="B224" s="17"/>
      <c r="C224" s="17"/>
    </row>
    <row r="225" spans="1:3" ht="15.6" x14ac:dyDescent="0.3">
      <c r="A225" s="17"/>
      <c r="B225" s="17"/>
      <c r="C225" s="17"/>
    </row>
    <row r="226" spans="1:3" ht="15.6" x14ac:dyDescent="0.3">
      <c r="A226" s="17"/>
      <c r="B226" s="17"/>
      <c r="C226" s="17"/>
    </row>
    <row r="227" spans="1:3" ht="15.6" x14ac:dyDescent="0.3">
      <c r="A227" s="17"/>
      <c r="B227" s="17"/>
      <c r="C227" s="17"/>
    </row>
    <row r="228" spans="1:3" ht="15.6" x14ac:dyDescent="0.3">
      <c r="A228" s="17"/>
      <c r="B228" s="17"/>
      <c r="C228" s="17"/>
    </row>
    <row r="229" spans="1:3" ht="15.6" x14ac:dyDescent="0.3">
      <c r="A229" s="17"/>
      <c r="B229" s="17"/>
      <c r="C229" s="17"/>
    </row>
  </sheetData>
  <mergeCells count="2">
    <mergeCell ref="A12:A13"/>
    <mergeCell ref="A17:A18"/>
  </mergeCells>
  <dataValidations count="1">
    <dataValidation type="list" allowBlank="1" showInputMessage="1" showErrorMessage="1" sqref="B10" xr:uid="{DEBCBCC1-E5B5-4B4D-BDBB-1AD219DE1B52}">
      <formula1>"call, put, call digital, put digital, forward"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utoPict="0" r:id="rId4">
            <anchor moveWithCells="1">
              <from>
                <xdr:col>0</xdr:col>
                <xdr:colOff>45720</xdr:colOff>
                <xdr:row>0</xdr:row>
                <xdr:rowOff>91440</xdr:rowOff>
              </from>
              <to>
                <xdr:col>1</xdr:col>
                <xdr:colOff>632460</xdr:colOff>
                <xdr:row>2</xdr:row>
                <xdr:rowOff>137160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45F71-C624-4C97-B217-4ACDEB4CE695}">
  <sheetPr codeName="Hoja2"/>
  <dimension ref="A1:P40"/>
  <sheetViews>
    <sheetView topLeftCell="A4" zoomScale="80" zoomScaleNormal="80" workbookViewId="0">
      <selection activeCell="B36" sqref="B36"/>
    </sheetView>
  </sheetViews>
  <sheetFormatPr baseColWidth="10" defaultRowHeight="14.4" x14ac:dyDescent="0.3"/>
  <cols>
    <col min="1" max="1" width="40.109375" bestFit="1" customWidth="1"/>
  </cols>
  <sheetData>
    <row r="1" spans="1:7" x14ac:dyDescent="0.3">
      <c r="A1" s="11"/>
      <c r="B1" s="11"/>
    </row>
    <row r="2" spans="1:7" x14ac:dyDescent="0.3">
      <c r="A2" s="11"/>
      <c r="B2" s="11"/>
      <c r="D2" s="10" t="s">
        <v>17</v>
      </c>
      <c r="E2" s="10"/>
      <c r="F2" s="10"/>
    </row>
    <row r="3" spans="1:7" x14ac:dyDescent="0.3">
      <c r="A3" s="2"/>
      <c r="B3" s="7"/>
      <c r="D3" s="7">
        <v>0</v>
      </c>
      <c r="E3">
        <v>1</v>
      </c>
      <c r="F3">
        <v>2</v>
      </c>
      <c r="G3">
        <v>3</v>
      </c>
    </row>
    <row r="4" spans="1:7" x14ac:dyDescent="0.3">
      <c r="A4" s="1" t="s">
        <v>0</v>
      </c>
      <c r="B4">
        <v>100</v>
      </c>
      <c r="G4">
        <v>172.79999999999998</v>
      </c>
    </row>
    <row r="5" spans="1:7" x14ac:dyDescent="0.3">
      <c r="A5" s="1" t="s">
        <v>1</v>
      </c>
      <c r="B5">
        <v>100</v>
      </c>
      <c r="F5">
        <v>144</v>
      </c>
    </row>
    <row r="6" spans="1:7" x14ac:dyDescent="0.3">
      <c r="A6" s="1" t="s">
        <v>3</v>
      </c>
      <c r="B6">
        <v>1.2</v>
      </c>
      <c r="E6">
        <v>120</v>
      </c>
      <c r="G6">
        <v>115.19999999999999</v>
      </c>
    </row>
    <row r="7" spans="1:7" x14ac:dyDescent="0.3">
      <c r="A7" s="1" t="s">
        <v>2</v>
      </c>
      <c r="B7">
        <v>0.8</v>
      </c>
      <c r="D7">
        <v>100</v>
      </c>
      <c r="F7">
        <v>96</v>
      </c>
    </row>
    <row r="8" spans="1:7" x14ac:dyDescent="0.3">
      <c r="A8" s="1" t="s">
        <v>4</v>
      </c>
      <c r="B8">
        <v>1.5</v>
      </c>
      <c r="E8">
        <v>80</v>
      </c>
      <c r="G8">
        <v>76.8</v>
      </c>
    </row>
    <row r="9" spans="1:7" x14ac:dyDescent="0.3">
      <c r="A9" s="1" t="s">
        <v>18</v>
      </c>
      <c r="B9">
        <v>3</v>
      </c>
      <c r="F9">
        <v>64</v>
      </c>
    </row>
    <row r="10" spans="1:7" x14ac:dyDescent="0.3">
      <c r="A10" s="1" t="s">
        <v>5</v>
      </c>
      <c r="B10" t="s">
        <v>21</v>
      </c>
      <c r="G10">
        <v>51.2</v>
      </c>
    </row>
    <row r="11" spans="1:7" x14ac:dyDescent="0.3">
      <c r="A11" s="1" t="s">
        <v>6</v>
      </c>
      <c r="B11" s="8">
        <v>7.5399999999999995E-2</v>
      </c>
      <c r="D11" s="10" t="s">
        <v>15</v>
      </c>
      <c r="E11" s="10"/>
      <c r="F11" s="10"/>
    </row>
    <row r="12" spans="1:7" x14ac:dyDescent="0.3">
      <c r="A12" s="12" t="s">
        <v>7</v>
      </c>
      <c r="B12">
        <v>0</v>
      </c>
      <c r="D12">
        <v>0</v>
      </c>
      <c r="E12">
        <v>1</v>
      </c>
      <c r="F12">
        <v>2</v>
      </c>
      <c r="G12">
        <v>3</v>
      </c>
    </row>
    <row r="13" spans="1:7" x14ac:dyDescent="0.3">
      <c r="A13" s="12"/>
      <c r="G13">
        <v>72.799999999999983</v>
      </c>
    </row>
    <row r="14" spans="1:7" x14ac:dyDescent="0.3">
      <c r="F14">
        <v>44.583040999999987</v>
      </c>
    </row>
    <row r="15" spans="1:7" x14ac:dyDescent="0.3">
      <c r="E15">
        <v>26.563983976467558</v>
      </c>
      <c r="G15">
        <v>15.199999999999989</v>
      </c>
    </row>
    <row r="16" spans="1:7" x14ac:dyDescent="0.3">
      <c r="D16">
        <v>15.511802414925183</v>
      </c>
      <c r="F16">
        <v>7.7772444639999927</v>
      </c>
    </row>
    <row r="17" spans="1:16" x14ac:dyDescent="0.3">
      <c r="A17" s="13" t="s">
        <v>8</v>
      </c>
      <c r="E17">
        <v>3.979311279790696</v>
      </c>
      <c r="G17">
        <v>0</v>
      </c>
    </row>
    <row r="18" spans="1:16" x14ac:dyDescent="0.3">
      <c r="A18" s="13"/>
      <c r="F18">
        <v>0</v>
      </c>
    </row>
    <row r="19" spans="1:16" x14ac:dyDescent="0.3">
      <c r="A19" s="3" t="s">
        <v>9</v>
      </c>
      <c r="B19">
        <f>IF(AND(ISBLANK(B4) = FALSE,ISBLANK(B5) = FALSE,ISBLANK(B6) = FALSE,ISBLANK(B7) = FALSE,ISBLANK(B8) = FALSE,ISBLANK(B9) = FALSE,ISBLANK(B10) = FALSE,ISBLANK(B11) = FALSE), ((B23-B7)/(B6-B7))," ")</f>
        <v>0.51466150760052909</v>
      </c>
      <c r="G19">
        <v>0</v>
      </c>
    </row>
    <row r="20" spans="1:16" x14ac:dyDescent="0.3">
      <c r="A20" s="3" t="s">
        <v>10</v>
      </c>
      <c r="B20">
        <f>IF(AND(ISBLANK(B4) = FALSE,ISBLANK(B5) = FALSE,ISBLANK(B6) = FALSE,ISBLANK(B7) = FALSE,ISBLANK(B8) = FALSE,ISBLANK(B9) = FALSE,ISBLANK(B10) = FALSE,ISBLANK(B11) = FALSE),1-B19," ")</f>
        <v>0.48533849239947091</v>
      </c>
      <c r="D20" s="10" t="s">
        <v>16</v>
      </c>
      <c r="E20" s="10"/>
      <c r="I20" s="10" t="s">
        <v>22</v>
      </c>
      <c r="J20" s="10"/>
      <c r="M20" s="10" t="s">
        <v>23</v>
      </c>
      <c r="N20" s="10"/>
      <c r="O20" s="10"/>
    </row>
    <row r="21" spans="1:16" x14ac:dyDescent="0.3">
      <c r="A21" s="3" t="s">
        <v>13</v>
      </c>
      <c r="B21" s="6">
        <v>0.5</v>
      </c>
      <c r="D21">
        <v>0</v>
      </c>
      <c r="E21">
        <v>1</v>
      </c>
      <c r="F21">
        <v>2</v>
      </c>
      <c r="I21">
        <v>0</v>
      </c>
      <c r="J21">
        <v>1</v>
      </c>
      <c r="K21">
        <v>2</v>
      </c>
    </row>
    <row r="22" spans="1:16" x14ac:dyDescent="0.3">
      <c r="A22" s="3" t="s">
        <v>12</v>
      </c>
      <c r="B22">
        <v>0.99416959000000005</v>
      </c>
      <c r="F22">
        <v>1</v>
      </c>
      <c r="K22">
        <f>F22*F5</f>
        <v>144</v>
      </c>
    </row>
    <row r="23" spans="1:16" x14ac:dyDescent="0.3">
      <c r="A23" s="3" t="s">
        <v>11</v>
      </c>
      <c r="B23">
        <f>IF(AND(ISBLANK(B4) = FALSE,ISBLANK(B5) = FALSE,ISBLANK(B6) = FALSE,ISBLANK(B7) = FALSE,ISBLANK(B8) = FALSE,ISBLANK(B9) = FALSE,ISBLANK(B10) = FALSE,ISBLANK(B11) = FALSE),1/B22," ")</f>
        <v>1.0058646030402116</v>
      </c>
      <c r="E23">
        <v>0.7667874278333332</v>
      </c>
      <c r="J23">
        <f>E23*E6</f>
        <v>92.014491339999978</v>
      </c>
      <c r="P23">
        <f>-(1-F24)*G6 + O24*B23</f>
        <v>-99.999999999999986</v>
      </c>
    </row>
    <row r="24" spans="1:16" x14ac:dyDescent="0.3">
      <c r="D24" s="9">
        <v>0.56461681741692149</v>
      </c>
      <c r="F24">
        <v>0.39583333333333315</v>
      </c>
      <c r="I24">
        <f>D24*D7</f>
        <v>56.461681741692146</v>
      </c>
      <c r="K24">
        <f>F24*F7</f>
        <v>37.999999999999986</v>
      </c>
      <c r="M24">
        <f>(-1)*(I24-$D$16)</f>
        <v>-40.949879326766961</v>
      </c>
      <c r="O24">
        <f>(-1)*(F24-E25)*F7 + N25*B23</f>
        <v>-30.22275553599998</v>
      </c>
    </row>
    <row r="25" spans="1:16" x14ac:dyDescent="0.3">
      <c r="E25">
        <v>0.24303888949999977</v>
      </c>
      <c r="J25">
        <f>E25*E8</f>
        <v>19.443111159999983</v>
      </c>
      <c r="N25">
        <f>(-1)*(E25-D24)*E8 + M24*$B$23</f>
        <v>-15.463799880209276</v>
      </c>
      <c r="P25">
        <f>-(0-F24)*G8 + O24*B23</f>
        <v>0</v>
      </c>
    </row>
    <row r="26" spans="1:16" x14ac:dyDescent="0.3">
      <c r="A26" s="4" t="s">
        <v>14</v>
      </c>
      <c r="B26" s="5">
        <v>15.511802414925183</v>
      </c>
      <c r="F26">
        <v>0</v>
      </c>
      <c r="K26">
        <f>F26*F9</f>
        <v>0</v>
      </c>
    </row>
    <row r="27" spans="1:16" x14ac:dyDescent="0.3">
      <c r="D27" s="10" t="s">
        <v>19</v>
      </c>
      <c r="E27" s="10"/>
      <c r="I27" s="10" t="s">
        <v>24</v>
      </c>
      <c r="J27" s="10"/>
    </row>
    <row r="28" spans="1:16" x14ac:dyDescent="0.3">
      <c r="A28" s="14"/>
      <c r="B28" s="14"/>
      <c r="D28">
        <v>0</v>
      </c>
      <c r="E28">
        <v>1</v>
      </c>
      <c r="F28">
        <v>2</v>
      </c>
      <c r="I28">
        <v>0</v>
      </c>
      <c r="J28">
        <v>1</v>
      </c>
      <c r="K28">
        <v>2</v>
      </c>
    </row>
    <row r="29" spans="1:16" x14ac:dyDescent="0.3">
      <c r="A29" s="14"/>
      <c r="B29" s="14"/>
      <c r="F29">
        <v>-99.416959000000006</v>
      </c>
      <c r="K29">
        <f>F29+K22</f>
        <v>44.583040999999994</v>
      </c>
    </row>
    <row r="30" spans="1:16" x14ac:dyDescent="0.3">
      <c r="A30" s="14"/>
      <c r="B30" s="14"/>
      <c r="E30">
        <v>-65.450507363532438</v>
      </c>
      <c r="J30">
        <f>E30+J23</f>
        <v>26.56398397646754</v>
      </c>
    </row>
    <row r="31" spans="1:16" x14ac:dyDescent="0.3">
      <c r="A31" s="14"/>
      <c r="B31" s="14"/>
      <c r="D31">
        <v>-40.949879326766975</v>
      </c>
      <c r="F31">
        <v>-30.222755535999987</v>
      </c>
      <c r="I31">
        <f>D31+I24</f>
        <v>15.511802414925171</v>
      </c>
      <c r="K31">
        <f>F31+K24</f>
        <v>7.7772444639999989</v>
      </c>
    </row>
    <row r="32" spans="1:16" x14ac:dyDescent="0.3">
      <c r="A32" s="14"/>
      <c r="B32" s="14"/>
      <c r="E32">
        <v>-15.463799880209287</v>
      </c>
      <c r="J32">
        <f>E32+J25</f>
        <v>3.9793112797906964</v>
      </c>
    </row>
    <row r="33" spans="1:11" x14ac:dyDescent="0.3">
      <c r="A33" s="14"/>
      <c r="B33" s="14"/>
      <c r="F33">
        <v>0</v>
      </c>
      <c r="K33">
        <f>F33+K26</f>
        <v>0</v>
      </c>
    </row>
    <row r="34" spans="1:11" x14ac:dyDescent="0.3">
      <c r="A34" s="14"/>
      <c r="B34" s="14"/>
    </row>
    <row r="35" spans="1:11" x14ac:dyDescent="0.3">
      <c r="A35" s="14"/>
      <c r="B35" s="14"/>
    </row>
    <row r="36" spans="1:11" x14ac:dyDescent="0.3">
      <c r="A36" s="14"/>
      <c r="B36" s="14"/>
    </row>
    <row r="37" spans="1:11" x14ac:dyDescent="0.3">
      <c r="A37" s="14"/>
      <c r="B37" s="14"/>
    </row>
    <row r="38" spans="1:11" x14ac:dyDescent="0.3">
      <c r="A38" s="14"/>
      <c r="B38" s="14"/>
    </row>
    <row r="39" spans="1:11" x14ac:dyDescent="0.3">
      <c r="A39" s="14"/>
      <c r="B39" s="14"/>
    </row>
    <row r="40" spans="1:11" x14ac:dyDescent="0.3">
      <c r="A40" s="14"/>
      <c r="B40" s="14"/>
    </row>
  </sheetData>
  <mergeCells count="3">
    <mergeCell ref="A1:B2"/>
    <mergeCell ref="A12:A13"/>
    <mergeCell ref="A17:A18"/>
  </mergeCells>
  <dataValidations count="1">
    <dataValidation type="list" allowBlank="1" showInputMessage="1" showErrorMessage="1" sqref="B10" xr:uid="{756EC094-2920-49A8-8D65-0BD5A0FADF9D}">
      <formula1>"call, put, call digital, put digital, forward"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Ejercicio_3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Ulises L.</dc:creator>
  <cp:lastModifiedBy>Ulises L.</cp:lastModifiedBy>
  <dcterms:created xsi:type="dcterms:W3CDTF">2020-10-18T21:29:24Z</dcterms:created>
  <dcterms:modified xsi:type="dcterms:W3CDTF">2022-03-15T17:46:00Z</dcterms:modified>
</cp:coreProperties>
</file>